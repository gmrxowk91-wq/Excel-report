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4\"/>
    </mc:Choice>
  </mc:AlternateContent>
  <xr:revisionPtr revIDLastSave="0" documentId="8_{61B4B521-7A41-4439-9839-F4A5377531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7" i="2"/>
  <c r="C9" i="2"/>
  <c r="D9" i="2"/>
  <c r="E9" i="2"/>
  <c r="F9" i="2"/>
  <c r="G9" i="2"/>
  <c r="H9" i="2"/>
  <c r="I9" i="2"/>
  <c r="J9" i="2"/>
  <c r="K9" i="2"/>
  <c r="L9" i="2"/>
  <c r="M9" i="2"/>
  <c r="N9" i="2"/>
  <c r="O9" i="2"/>
  <c r="B9" i="2"/>
  <c r="C18" i="3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N19" i="2" l="1"/>
  <c r="L19" i="2"/>
  <c r="J19" i="2"/>
  <c r="H19" i="2"/>
  <c r="F19" i="2"/>
  <c r="D19" i="2"/>
  <c r="O19" i="2"/>
  <c r="M19" i="2"/>
  <c r="K19" i="2"/>
  <c r="I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3" i="2" s="1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K23" i="2" l="1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<sst xmlns="http://schemas.openxmlformats.org/spreadsheetml/2006/main" count="93" uniqueCount="42">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</sst>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</cellStyleXfs>
  <cellXfs count="1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5" fontId="0" fillId="0" borderId="0" xfId="1" applyNumberFormat="1" applyFont="1"/>
    <xf numFmtId="0" fontId="6" fillId="0" borderId="5" xfId="8"/>
    <xf numFmtId="165" fontId="6" fillId="0" borderId="5" xfId="8" applyNumberFormat="1"/>
    <xf numFmtId="0" fontId="3" fillId="0" borderId="0" xfId="3" applyBorder="1"/>
    <xf numFmtId="9" fontId="5" fillId="0" borderId="0" xfId="6" applyNumberFormat="1"/>
    <xf numFmtId="164" fontId="0" fillId="0" borderId="0" xfId="1" applyFont="1"/>
    <xf numFmtId="164" fontId="6" fillId="0" borderId="5" xfId="8" applyNumberFormat="1"/>
    <xf numFmtId="0" fontId="6" fillId="0" borderId="0" xfId="0" applyFont="1"/>
    <xf numFmtId="164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</cellXfs>
  <cellStyles count="9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R8" sqref="R8"/>
    </sheetView>
  </sheetViews>
  <sheetFormatPr defaultRowHeight="15"/>
  <cols>
    <col min="1" max="1" width="16.85546875" customWidth="1"/>
    <col min="2" max="15" width="7.7109375" customWidth="1"/>
  </cols>
  <sheetData>
    <row r="1" spans="1:16" ht="23.25">
      <c r="A1" s="1" t="s">
        <v>0</v>
      </c>
    </row>
    <row r="2" spans="1:16" ht="9.75" customHeight="1"/>
    <row r="3" spans="1:16" ht="19.5">
      <c r="A3" s="9" t="s">
        <v>1</v>
      </c>
      <c r="B3" s="9"/>
    </row>
    <row r="4" spans="1:16">
      <c r="A4" s="2" t="s">
        <v>2</v>
      </c>
      <c r="B4" s="10">
        <v>0.32</v>
      </c>
    </row>
    <row r="5" spans="1:16">
      <c r="A5" s="2" t="s">
        <v>3</v>
      </c>
      <c r="B5" s="10">
        <v>0.08</v>
      </c>
    </row>
    <row r="6" spans="1:16">
      <c r="A6" s="2" t="s">
        <v>4</v>
      </c>
      <c r="B6" s="10">
        <v>0.05</v>
      </c>
    </row>
    <row r="7" spans="1:16" ht="6.75" customHeight="1"/>
    <row r="8" spans="1:16" ht="96.75" customHeight="1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5" ht="15.75" thickBot="1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5" ht="15.75" thickTop="1"/>
    <row r="19" spans="1:15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5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5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5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5" ht="15.75" thickBot="1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</row>
    <row r="24" spans="1:15" ht="15.75" thickTop="1">
      <c r="B24" s="11"/>
    </row>
    <row r="25" spans="1:15">
      <c r="A25" s="13"/>
      <c r="B25" s="14"/>
    </row>
  </sheetData>
  <sheetProtection selectLockedCells="1" selectUnlockedCells="1"/>
  <protectedRanges>
    <protectedRange algorithmName="SHA-512" hashValue="T/+7fs+o/b/EFILaIiMOz9Raa3YOe/hfeWxtO9634j1mfbDx7JltlHAVROOdeEhQJ/uIUF0VHtT/0d5y/waNRw==" saltValue="mc48tO2/Y+hmzy8Eq4GEVw==" spinCount="100000" sqref="B4:B6 B9:O9 B12:O12" name="Human Resource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J22" sqref="J22"/>
    </sheetView>
  </sheetViews>
  <sheetFormatPr defaultRowHeight="15"/>
  <cols>
    <col min="1" max="1" width="19.140625" customWidth="1"/>
    <col min="2" max="2" width="9" customWidth="1"/>
    <col min="3" max="3" width="10.5703125" customWidth="1"/>
    <col min="4" max="4" width="15.5703125" customWidth="1"/>
  </cols>
  <sheetData>
    <row r="1" spans="1:4" ht="23.25">
      <c r="A1" s="1" t="s">
        <v>29</v>
      </c>
    </row>
    <row r="3" spans="1:4" ht="18" thickBot="1">
      <c r="A3" s="4" t="s">
        <v>30</v>
      </c>
      <c r="B3" s="4" t="s">
        <v>31</v>
      </c>
      <c r="C3" s="4" t="s">
        <v>32</v>
      </c>
      <c r="D3" s="4" t="s">
        <v>33</v>
      </c>
    </row>
    <row r="4" spans="1:4" ht="15.75" thickTop="1">
      <c r="A4" t="s">
        <v>5</v>
      </c>
      <c r="B4" t="s">
        <v>34</v>
      </c>
      <c r="C4" s="6">
        <v>37864</v>
      </c>
      <c r="D4" t="s">
        <v>35</v>
      </c>
    </row>
    <row r="5" spans="1:4">
      <c r="A5" t="s">
        <v>6</v>
      </c>
      <c r="B5" t="s">
        <v>34</v>
      </c>
      <c r="C5" s="6">
        <v>26148</v>
      </c>
      <c r="D5" t="s">
        <v>36</v>
      </c>
    </row>
    <row r="6" spans="1:4">
      <c r="A6" t="s">
        <v>7</v>
      </c>
      <c r="B6" t="s">
        <v>37</v>
      </c>
      <c r="C6" s="6">
        <v>26345</v>
      </c>
      <c r="D6" t="s">
        <v>38</v>
      </c>
    </row>
    <row r="7" spans="1:4">
      <c r="A7" t="s">
        <v>8</v>
      </c>
      <c r="B7" t="s">
        <v>37</v>
      </c>
      <c r="C7" s="6">
        <v>23562</v>
      </c>
      <c r="D7" t="s">
        <v>35</v>
      </c>
    </row>
    <row r="8" spans="1:4">
      <c r="A8" t="s">
        <v>9</v>
      </c>
      <c r="B8" t="s">
        <v>34</v>
      </c>
      <c r="C8" s="6">
        <v>19888</v>
      </c>
      <c r="D8" t="s">
        <v>38</v>
      </c>
    </row>
    <row r="9" spans="1:4">
      <c r="A9" t="s">
        <v>10</v>
      </c>
      <c r="B9" t="s">
        <v>34</v>
      </c>
      <c r="C9" s="6">
        <v>32918</v>
      </c>
      <c r="D9" t="s">
        <v>36</v>
      </c>
    </row>
    <row r="10" spans="1:4">
      <c r="A10" t="s">
        <v>11</v>
      </c>
      <c r="B10" t="s">
        <v>34</v>
      </c>
      <c r="C10" s="6">
        <v>18931</v>
      </c>
      <c r="D10" t="s">
        <v>35</v>
      </c>
    </row>
    <row r="11" spans="1:4">
      <c r="A11" t="s">
        <v>12</v>
      </c>
      <c r="B11" t="s">
        <v>34</v>
      </c>
      <c r="C11" s="6">
        <v>32829</v>
      </c>
      <c r="D11" t="s">
        <v>35</v>
      </c>
    </row>
    <row r="12" spans="1:4">
      <c r="A12" t="s">
        <v>13</v>
      </c>
      <c r="B12" t="s">
        <v>34</v>
      </c>
      <c r="C12" s="6">
        <v>38296</v>
      </c>
      <c r="D12" t="s">
        <v>36</v>
      </c>
    </row>
    <row r="13" spans="1:4">
      <c r="A13" t="s">
        <v>14</v>
      </c>
      <c r="B13" t="s">
        <v>37</v>
      </c>
      <c r="C13" s="6">
        <v>28554</v>
      </c>
      <c r="D13" t="s">
        <v>35</v>
      </c>
    </row>
    <row r="14" spans="1:4">
      <c r="A14" t="s">
        <v>15</v>
      </c>
      <c r="B14" t="s">
        <v>34</v>
      </c>
      <c r="C14" s="6">
        <v>27368</v>
      </c>
      <c r="D14" t="s">
        <v>38</v>
      </c>
    </row>
    <row r="15" spans="1:4">
      <c r="A15" t="s">
        <v>16</v>
      </c>
      <c r="B15" t="s">
        <v>37</v>
      </c>
      <c r="C15" s="6">
        <v>20850</v>
      </c>
      <c r="D15" t="s">
        <v>36</v>
      </c>
    </row>
    <row r="16" spans="1:4">
      <c r="A16" t="s">
        <v>17</v>
      </c>
      <c r="B16" t="s">
        <v>34</v>
      </c>
      <c r="C16" s="6">
        <v>19345</v>
      </c>
      <c r="D16" t="s">
        <v>36</v>
      </c>
    </row>
    <row r="17" spans="1:4">
      <c r="A17" t="s">
        <v>18</v>
      </c>
      <c r="B17" t="s">
        <v>37</v>
      </c>
      <c r="C17" s="6">
        <v>38158</v>
      </c>
      <c r="D17" t="s">
        <v>35</v>
      </c>
    </row>
    <row r="18" spans="1:4" ht="15.75" thickBot="1">
      <c r="A18" s="7" t="s">
        <v>26</v>
      </c>
      <c r="B18" s="7"/>
      <c r="C18" s="8">
        <f>SUM(C4:C17)</f>
        <v>391056</v>
      </c>
      <c r="D18" s="7"/>
    </row>
    <row r="19" spans="1:4" ht="15.75" thickTop="1"/>
    <row r="20" spans="1:4" ht="15.75" thickBot="1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6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6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6">
        <f t="shared" si="0"/>
        <v>73601</v>
      </c>
      <c r="C23">
        <f t="shared" si="1"/>
        <v>3</v>
      </c>
    </row>
    <row r="24" spans="1:4" ht="15.75" thickBot="1">
      <c r="A24" s="7" t="s">
        <v>40</v>
      </c>
      <c r="B24" s="8">
        <f>SUM(B21:B23)</f>
        <v>391056</v>
      </c>
      <c r="C24" s="8">
        <f>SUM(C21:C23)</f>
        <v>14</v>
      </c>
    </row>
    <row r="25" spans="1:4" ht="15.75" thickTop="1"/>
    <row r="26" spans="1:4" ht="15.75" thickBot="1">
      <c r="A26" s="3" t="s">
        <v>41</v>
      </c>
      <c r="B26" s="3" t="s">
        <v>32</v>
      </c>
      <c r="C26" s="3" t="s">
        <v>39</v>
      </c>
    </row>
    <row r="27" spans="1:4">
      <c r="A27" t="s">
        <v>34</v>
      </c>
      <c r="B27" s="6">
        <f>SUMIF($B$4:$B$17,A27,$C$4:$C$17)</f>
        <v>253587</v>
      </c>
      <c r="C27">
        <f>COUNTIF(B4:B17,A27)</f>
        <v>9</v>
      </c>
    </row>
    <row r="28" spans="1:4">
      <c r="A28" t="s">
        <v>37</v>
      </c>
      <c r="B28" s="6">
        <f>SUMIF($B$4:$B$17,A28,$C$4:$C$17)</f>
        <v>137469</v>
      </c>
      <c r="C28">
        <f>COUNTIF(B5:B17,A28)</f>
        <v>5</v>
      </c>
    </row>
    <row r="29" spans="1:4" ht="15.75" thickBot="1">
      <c r="A29" s="7" t="s">
        <v>40</v>
      </c>
      <c r="B29" s="8">
        <f>SUM(B27:B28)</f>
        <v>391056</v>
      </c>
      <c r="C29" s="8">
        <f>SUM(C27:C28)</f>
        <v>14</v>
      </c>
    </row>
    <row r="30" spans="1:4" ht="15.7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0C37EE97-2E6B-427C-8A5A-30AC68FFA781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2026-07-16T09:06:52Z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MediaServiceImageTags">
    <vt:lpwstr/>
  </property>
</Properties>
</file>